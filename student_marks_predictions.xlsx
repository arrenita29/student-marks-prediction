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tion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<sst xmlns="http://schemas.openxmlformats.org/spreadsheetml/2006/main" count="40" uniqueCount="39">
  <si>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Student Marks Prediction - Model Behaviour</t>
  </si>
  <si>
    <t xml:space="preserve">Marks = Slope x Hours + Intercept, capped to the Min/Max marks below. Edit the blue/yellow cells; everything else recalculates.</t>
  </si>
  <si>
    <t xml:space="preserve">Model parameters</t>
  </si>
  <si>
    <t xml:space="preserve">Slope (marks per hour)</t>
  </si>
  <si>
    <t xml:space="preserve">From LinearRegression trained on students.csv (80/20 split, random_state=42)</t>
  </si>
  <si>
    <t xml:space="preserve">Intercept (marks)</t>
  </si>
  <si>
    <t xml:space="preserve">From the same trained model</t>
  </si>
  <si>
    <t xml:space="preserve">Minimum marks</t>
  </si>
  <si>
    <t xml:space="preserve">Assumption: marks cannot go below 0 (clamp in predict_marks())</t>
  </si>
  <si>
    <t xml:space="preserve">Maximum marks</t>
  </si>
  <si>
    <t xml:space="preserve">Assumption: marks cannot go above 100 (clamp in predict_marks())</t>
  </si>
  <si>
    <t xml:space="preserve">Training hours - min</t>
  </si>
  <si>
    <t xml:space="preserve">Smallest study-hours value in students.csv</t>
  </si>
  <si>
    <t xml:space="preserve">Training hours - max</t>
  </si>
  <si>
    <t xml:space="preserve">Largest study-hours value in students.csv</t>
  </si>
  <si>
    <t xml:space="preserve">Study hours</t>
  </si>
  <si>
    <t xml:space="preserve">Raw model output</t>
  </si>
  <si>
    <t xml:space="preserve">Predicted marks (capped)</t>
  </si>
  <si>
    <t xml:space="preserve">Capped?</t>
  </si>
  <si>
    <t xml:space="preserve">Inside training range?</t>
  </si>
  <si>
    <t xml:space="preserve">Comment</t>
  </si>
  <si>
    <t xml:space="preserve">Matches the data (about 12 marks in the dataset)</t>
  </si>
  <si>
    <t xml:space="preserve">Example from the project run</t>
  </si>
  <si>
    <t xml:space="preserve">Matches the data (93 marks in the dataset)</t>
  </si>
  <si>
    <t xml:space="preserve">Model says about 102, so the cap holds it at 100</t>
  </si>
  <si>
    <t xml:space="preserve">Far outside the training range - unreliable</t>
  </si>
  <si>
    <t xml:space="preserve">Legend</t>
  </si>
  <si>
    <t xml:space="preserve">Yellow cells with blue text are inputs you can change (parameters and study hours). Leave the white cells alone - they are formulas.</t>
  </si>
  <si>
    <t xml:space="preserve">Add your own study-hours values in the four empty yellow rows; the results fill in automatically.</t>
  </si>
  <si>
    <t xml:space="preserve">What the results show</t>
  </si>
  <si>
    <t xml:space="preserve">1. Inside the training range (1 to 10 hours) the model is very accurate: R2 = 0.998, MAE = 0.81 marks on the 20% test split.</t>
  </si>
  <si>
    <t xml:space="preserve">2. Linear Regression draws a straight line, so it keeps rising without limit. Past about 10.8 hours the raw output exceeds 100.</t>
  </si>
  <si>
    <t xml:space="preserve">3. Real marks cannot exceed 100, so predict_marks() clamps the output to the range 0-100 (the 'Capped?' column shows when this happens).</t>
  </si>
  <si>
    <t xml:space="preserve">4. The dataset only covers 1-10 study hours, so predictions outside that range are extrapolation and should not be trusted.</t>
  </si>
  <si>
    <t xml:space="preserve">5. Viva answer: 'Linear Regression extrapolates beyond the training range, so I clamp the output to 0-100.'</t>
  </si>
  <si>
    <t xml:space="preserve">Assumptions and sources</t>
  </si>
  <si>
    <t xml:space="preserve">- Slope and intercept come from the trained model in student_marks_prediction.py run on students.csv (a small synthetic sample, 25 rows).</t>
  </si>
  <si>
    <t xml:space="preserve">- Minimum 0 and maximum 100 marks are assumptions taken from the script's clamp.</t>
  </si>
  <si>
    <t xml:space="preserve">- If you retrain on a different dataset, paste the new slope and intercept into the Predictions 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</si>
</sst>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  <c r="B5" s="4" t="n">
        <v>8.8492585638463</v>
      </c>
      <c r="C5" s="5" t="s">
        <v>4</v>
      </c>
    </row>
    <row r="6" customFormat="false" ht="15" hidden="false" customHeight="false" outlineLevel="0" collapsed="false">
      <c r="A6" s="2" t="s">
        <v>5</v>
      </c>
      <c r="B6" s="4" t="n">
        <v>4.85249634086843</v>
      </c>
      <c r="C6" s="5" t="s">
        <v>6</v>
      </c>
    </row>
    <row r="7" customFormat="false" ht="15" hidden="false" customHeight="false" outlineLevel="0" collapsed="false">
      <c r="A7" s="2" t="s">
        <v>7</v>
      </c>
      <c r="B7" s="6" t="n">
        <v>0</v>
      </c>
      <c r="C7" s="5" t="s">
        <v>8</v>
      </c>
    </row>
    <row r="8" customFormat="false" ht="15" hidden="false" customHeight="false" outlineLevel="0" collapsed="false">
      <c r="A8" s="2" t="s">
        <v>9</v>
      </c>
      <c r="B8" s="6" t="n">
        <v>100</v>
      </c>
      <c r="C8" s="5" t="s">
        <v>10</v>
      </c>
    </row>
    <row r="9" customFormat="false" ht="15" hidden="false" customHeight="false" outlineLevel="0" collapsed="false">
      <c r="A9" s="2" t="s">
        <v>11</v>
      </c>
      <c r="B9" s="7" t="n">
        <v>1</v>
      </c>
      <c r="C9" s="5" t="s">
        <v>12</v>
      </c>
    </row>
    <row r="10" customFormat="false" ht="15" hidden="false" customHeight="false" outlineLevel="0" collapsed="false">
      <c r="A10" s="2" t="s">
        <v>13</v>
      </c>
      <c r="B10" s="7" t="n">
        <v>10</v>
      </c>
      <c r="C10" s="5" t="s">
        <v>14</v>
      </c>
    </row>
    <row r="12" customFormat="false" ht="31.5" hidden="false" customHeight="true" outlineLevel="0" collapsed="false">
      <c r="A12" s="8" t="s">
        <v>15</v>
      </c>
      <c r="B12" s="8" t="s">
        <v>16</v>
      </c>
      <c r="C12" s="8" t="s">
        <v>17</v>
      </c>
      <c r="D12" s="8" t="s">
        <v>18</v>
      </c>
      <c r="E12" s="8" t="s">
        <v>19</v>
      </c>
      <c r="F12" s="8" t="s">
        <v>20</v>
      </c>
    </row>
    <row r="13" customFormat="false" ht="15" hidden="false" customHeight="false" outlineLevel="0" collapsed="false">
      <c r="A13" s="9" t="n">
        <v>1</v>
      </c>
      <c r="B13" s="10" t="n">
        <f aca="false">IF(A13="","",$B$5*A13+$B$6)</f>
        <v>13.7017549047147</v>
      </c>
      <c r="C13" s="11" t="n">
        <f aca="false">IF(A13="","",MAX($B$7,MIN($B$8,B13)))</f>
        <v>13.7017549047147</v>
      </c>
      <c r="D13" s="12" t="str">
        <f aca="false">IF(A13="","",IF(B13&lt;&gt;C13,"Yes","No"))</f>
        <v>No</v>
      </c>
      <c r="E13" s="12" t="str">
        <f aca="false">IF(A13="","",IF(AND(A13&gt;=$B$9,A13&lt;=$B$10),"Yes","No - extrapolation"))</f>
        <v>Yes</v>
      </c>
      <c r="F13" s="13" t="s">
        <v>21</v>
      </c>
    </row>
    <row r="14" customFormat="false" ht="15" hidden="false" customHeight="false" outlineLevel="0" collapsed="false">
      <c r="A14" s="9" t="n">
        <v>6.5</v>
      </c>
      <c r="B14" s="10" t="n">
        <f aca="false">IF(A14="","",$B$5*A14+$B$6)</f>
        <v>62.3726770058694</v>
      </c>
      <c r="C14" s="11" t="n">
        <f aca="false">IF(A14="","",MAX($B$7,MIN($B$8,B14)))</f>
        <v>62.3726770058694</v>
      </c>
      <c r="D14" s="12" t="str">
        <f aca="false">IF(A14="","",IF(B14&lt;&gt;C14,"Yes","No"))</f>
        <v>No</v>
      </c>
      <c r="E14" s="12" t="str">
        <f aca="false">IF(A14="","",IF(AND(A14&gt;=$B$9,A14&lt;=$B$10),"Yes","No - extrapolation"))</f>
        <v>Yes</v>
      </c>
      <c r="F14" s="13" t="s">
        <v>22</v>
      </c>
    </row>
    <row r="15" customFormat="false" ht="15" hidden="false" customHeight="false" outlineLevel="0" collapsed="false">
      <c r="A15" s="9" t="n">
        <v>10</v>
      </c>
      <c r="B15" s="10" t="n">
        <f aca="false">IF(A15="","",$B$5*A15+$B$6)</f>
        <v>93.3450819793315</v>
      </c>
      <c r="C15" s="11" t="n">
        <f aca="false">IF(A15="","",MAX($B$7,MIN($B$8,B15)))</f>
        <v>93.3450819793315</v>
      </c>
      <c r="D15" s="12" t="str">
        <f aca="false">IF(A15="","",IF(B15&lt;&gt;C15,"Yes","No"))</f>
        <v>No</v>
      </c>
      <c r="E15" s="12" t="str">
        <f aca="false">IF(A15="","",IF(AND(A15&gt;=$B$9,A15&lt;=$B$10),"Yes","No - extrapolation"))</f>
        <v>Yes</v>
      </c>
      <c r="F15" s="13" t="s">
        <v>23</v>
      </c>
    </row>
    <row r="16" customFormat="false" ht="15" hidden="false" customHeight="false" outlineLevel="0" collapsed="false">
      <c r="A16" s="9" t="n">
        <v>11</v>
      </c>
      <c r="B16" s="10" t="n">
        <f aca="false">IF(A16="","",$B$5*A16+$B$6)</f>
        <v>102.194340543178</v>
      </c>
      <c r="C16" s="11" t="n">
        <f aca="false">IF(A16="","",MAX($B$7,MIN($B$8,B16)))</f>
        <v>100</v>
      </c>
      <c r="D16" s="12" t="str">
        <f aca="false">IF(A16="","",IF(B16&lt;&gt;C16,"Yes","No"))</f>
        <v>Yes</v>
      </c>
      <c r="E16" s="12" t="str">
        <f aca="false">IF(A16="","",IF(AND(A16&gt;=$B$9,A16&lt;=$B$10),"Yes","No - extrapolation"))</f>
        <v>No - extrapolation</v>
      </c>
      <c r="F16" s="13" t="s">
        <v>24</v>
      </c>
    </row>
    <row r="17" customFormat="false" ht="15" hidden="false" customHeight="false" outlineLevel="0" collapsed="false">
      <c r="A17" s="9" t="n">
        <v>20</v>
      </c>
      <c r="B17" s="10" t="n">
        <f aca="false">IF(A17="","",$B$5*A17+$B$6)</f>
        <v>181.837667617795</v>
      </c>
      <c r="C17" s="11" t="n">
        <f aca="false">IF(A17="","",MAX($B$7,MIN($B$8,B17)))</f>
        <v>100</v>
      </c>
      <c r="D17" s="12" t="str">
        <f aca="false">IF(A17="","",IF(B17&lt;&gt;C17,"Yes","No"))</f>
        <v>Yes</v>
      </c>
      <c r="E17" s="12" t="str">
        <f aca="false">IF(A17="","",IF(AND(A17&gt;=$B$9,A17&lt;=$B$10),"Yes","No - extrapolation"))</f>
        <v>No - extrapolation</v>
      </c>
      <c r="F17" s="13" t="s">
        <v>25</v>
      </c>
    </row>
    <row r="18" customFormat="false" ht="15" hidden="false" customHeight="false" outlineLevel="0" collapsed="false">
      <c r="A18" s="9" t="n">
        <v>22</v>
      </c>
      <c r="B18" s="10" t="n">
        <f aca="false">IF(A18="","",$B$5*A18+$B$6)</f>
        <v>199.536184745487</v>
      </c>
      <c r="C18" s="11" t="n">
        <f aca="false">IF(A18="","",MAX($B$7,MIN($B$8,B18)))</f>
        <v>100</v>
      </c>
      <c r="D18" s="12" t="str">
        <f aca="false">IF(A18="","",IF(B18&lt;&gt;C18,"Yes","No"))</f>
        <v>Yes</v>
      </c>
      <c r="E18" s="12" t="str">
        <f aca="false">IF(A18="","",IF(AND(A18&gt;=$B$9,A18&lt;=$B$10),"Yes","No - extrapolation"))</f>
        <v>No - extrapolation</v>
      </c>
      <c r="F18" s="13" t="s">
        <v>25</v>
      </c>
    </row>
    <row r="19" customFormat="false" ht="15" hidden="false" customHeight="false" outlineLevel="0" collapsed="false">
      <c r="A19" s="9"/>
      <c r="B19" s="10" t="str">
        <f aca="false">IF(A19="","",$B$5*A19+$B$6)</f>
        <v/>
      </c>
      <c r="C19" s="11" t="str">
        <f aca="false">IF(A19="","",MAX($B$7,MIN($B$8,B19)))</f>
        <v/>
      </c>
      <c r="D19" s="12" t="str">
        <f aca="false">IF(A19="","",IF(B19&lt;&gt;C19,"Yes","No"))</f>
        <v/>
      </c>
      <c r="E19" s="12" t="str">
        <f aca="false">IF(A19="","",IF(AND(A19&gt;=$B$9,A19&lt;=$B$10),"Yes","No - extrapolation"))</f>
        <v/>
      </c>
      <c r="F19" s="13"/>
    </row>
    <row r="20" customFormat="false" ht="15" hidden="false" customHeight="false" outlineLevel="0" collapsed="false">
      <c r="A20" s="9"/>
      <c r="B20" s="10" t="str">
        <f aca="false">IF(A20="","",$B$5*A20+$B$6)</f>
        <v/>
      </c>
      <c r="C20" s="11" t="str">
        <f aca="false">IF(A20="","",MAX($B$7,MIN($B$8,B20)))</f>
        <v/>
      </c>
      <c r="D20" s="12" t="str">
        <f aca="false">IF(A20="","",IF(B20&lt;&gt;C20,"Yes","No"))</f>
        <v/>
      </c>
      <c r="E20" s="12" t="str">
        <f aca="false">IF(A20="","",IF(AND(A20&gt;=$B$9,A20&lt;=$B$10),"Yes","No - extrapolation"))</f>
        <v/>
      </c>
      <c r="F20" s="13"/>
    </row>
    <row r="21" customFormat="false" ht="15" hidden="false" customHeight="false" outlineLevel="0" collapsed="false">
      <c r="A21" s="9"/>
      <c r="B21" s="10" t="str">
        <f aca="false">IF(A21="","",$B$5*A21+$B$6)</f>
        <v/>
      </c>
      <c r="C21" s="11" t="str">
        <f aca="false">IF(A21="","",MAX($B$7,MIN($B$8,B21)))</f>
        <v/>
      </c>
      <c r="D21" s="12" t="str">
        <f aca="false">IF(A21="","",IF(B21&lt;&gt;C21,"Yes","No"))</f>
        <v/>
      </c>
      <c r="E21" s="12" t="str">
        <f aca="false">IF(A21="","",IF(AND(A21&gt;=$B$9,A21&lt;=$B$10),"Yes","No - extrapolation"))</f>
        <v/>
      </c>
      <c r="F21" s="13"/>
    </row>
    <row r="22" customFormat="false" ht="15" hidden="false" customHeight="false" outlineLevel="0" collapsed="false">
      <c r="A22" s="9"/>
      <c r="B22" s="10" t="str">
        <f aca="false">IF(A22="","",$B$5*A22+$B$6)</f>
        <v/>
      </c>
      <c r="C22" s="11" t="str">
        <f aca="false">IF(A22="","",MAX($B$7,MIN($B$8,B22)))</f>
        <v/>
      </c>
      <c r="D22" s="12" t="str">
        <f aca="false">IF(A22="","",IF(B22&lt;&gt;C22,"Yes","No"))</f>
        <v/>
      </c>
      <c r="E22" s="12" t="str">
        <f aca="false">IF(A22="","",IF(AND(A22&gt;=$B$9,A22&lt;=$B$10),"Yes","No - extrapolation"))</f>
        <v/>
      </c>
      <c r="F22" s="13"/>
    </row>
    <row r="24" customFormat="false" ht="15" hidden="false" customHeight="false" outlineLevel="0" collapsed="false">
      <c r="A24" s="3" t="s">
        <v>26</v>
      </c>
    </row>
    <row r="25" customFormat="false" ht="15" hidden="false" customHeight="false" outlineLevel="0" collapsed="false">
      <c r="A25" s="2" t="s">
        <v>27</v>
      </c>
    </row>
    <row r="26" customFormat="false" ht="15" hidden="false" customHeight="false" outlineLevel="0" collapsed="false">
      <c r="A26" s="2" t="s">
        <v>28</v>
      </c>
    </row>
  </sheetData>
  <dataValidations count="1">
    <dataValidation allowBlank="true" error="Enter hours between 0 and 24." errorStyle="stop" errorTitle="Study hours" operator="between" showDropDown="false" showErrorMessage="true" showInputMessage="false" sqref="A13:A22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29</v>
      </c>
    </row>
    <row r="3" customFormat="false" ht="15" hidden="false" customHeight="false" outlineLevel="0" collapsed="false">
      <c r="A3" s="14" t="s">
        <v>30</v>
      </c>
    </row>
    <row r="4" customFormat="false" ht="15" hidden="false" customHeight="false" outlineLevel="0" collapsed="false">
      <c r="A4" s="14" t="s">
        <v>31</v>
      </c>
    </row>
    <row r="5" customFormat="false" ht="15" hidden="false" customHeight="false" outlineLevel="0" collapsed="false">
      <c r="A5" s="14" t="s">
        <v>32</v>
      </c>
    </row>
    <row r="6" customFormat="false" ht="15" hidden="false" customHeight="false" outlineLevel="0" collapsed="false">
      <c r="A6" s="14" t="s">
        <v>33</v>
      </c>
    </row>
    <row r="7" customFormat="false" ht="15" hidden="false" customHeight="false" outlineLevel="0" collapsed="false">
      <c r="A7" s="14" t="s">
        <v>34</v>
      </c>
    </row>
    <row r="8" customFormat="false" ht="15" hidden="false" customHeight="false" outlineLevel="0" collapsed="false">
      <c r="A8" s="14"/>
    </row>
    <row r="9" customFormat="false" ht="15" hidden="false" customHeight="false" outlineLevel="0" collapsed="false">
      <c r="A9" s="15" t="s">
        <v>35</v>
      </c>
    </row>
    <row r="10" customFormat="false" ht="15" hidden="false" customHeight="false" outlineLevel="0" collapsed="false">
      <c r="A10" s="14" t="s">
        <v>36</v>
      </c>
    </row>
    <row r="11" customFormat="false" ht="15" hidden="false" customHeight="false" outlineLevel="0" collapsed="false">
      <c r="A11" s="14" t="s">
        <v>37</v>
      </c>
    </row>
    <row r="12" customFormat="false" ht="15" hidden="false" customHeight="false" outlineLevel="0" collapsed="false">
      <c r="A12" s="1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2026-10-15T06:44:00Z</dcterms:created>
  <dc:creator>openpyxl</dc:creator>
  <dc:description/>
  <dc:language>en-US</dc:language>
  <cp:lastModifiedBy/>
  <dcterms:modified xsi:type="dcterms:W3CDTF">2026-10-15T06:44:00Z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